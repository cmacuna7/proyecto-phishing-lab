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Universidad\Semestre2-2026\Seguridad\U1\proyecto-phishing-lab\matrices\"/>
    </mc:Choice>
  </mc:AlternateContent>
  <xr:revisionPtr revIDLastSave="0" documentId="13_ncr:1_{5BD011CE-7D9F-4652-86F0-9D039C43D765}" xr6:coauthVersionLast="47" xr6:coauthVersionMax="47" xr10:uidLastSave="{00000000-0000-0000-0000-000000000000}"/>
  <bookViews>
    <workbookView xWindow="1152" yWindow="588" windowWidth="11904" windowHeight="11652" tabRatio="500" xr2:uid="{00000000-000D-0000-FFFF-FFFF00000000}"/>
  </bookViews>
  <sheets>
    <sheet name="Inicial" sheetId="1" r:id="rId1"/>
    <sheet name="Residual" sheetId="2" r:id="rId2"/>
    <sheet name="Escala" sheetId="3" r:id="rId3"/>
  </sheets>
  <definedNames>
    <definedName name="Print_Titles" localSheetId="0">Inicial!$4:$4</definedName>
    <definedName name="Print_Titles" localSheetId="1">Residual!$4:$4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2" l="1"/>
  <c r="B11" i="2"/>
  <c r="I10" i="2"/>
  <c r="B10" i="2"/>
  <c r="I9" i="2"/>
  <c r="B9" i="2"/>
  <c r="I8" i="2"/>
  <c r="L8" i="2" s="1"/>
  <c r="B8" i="2"/>
  <c r="I7" i="2"/>
  <c r="B7" i="2"/>
  <c r="I6" i="2"/>
  <c r="J6" i="2" s="1"/>
  <c r="B6" i="2"/>
  <c r="I5" i="2"/>
  <c r="J5" i="2" s="1"/>
  <c r="B5" i="2"/>
  <c r="H11" i="1"/>
  <c r="K11" i="2" s="1"/>
  <c r="H10" i="1"/>
  <c r="I10" i="1" s="1"/>
  <c r="H9" i="1"/>
  <c r="I9" i="1" s="1"/>
  <c r="H8" i="1"/>
  <c r="K8" i="2" s="1"/>
  <c r="H7" i="1"/>
  <c r="K7" i="2" s="1"/>
  <c r="H6" i="1"/>
  <c r="K6" i="2" s="1"/>
  <c r="H5" i="1"/>
  <c r="K5" i="2" s="1"/>
  <c r="L5" i="2" l="1"/>
  <c r="L11" i="2"/>
  <c r="L6" i="2"/>
  <c r="I8" i="1"/>
  <c r="J11" i="2"/>
  <c r="I6" i="1"/>
  <c r="I11" i="1"/>
  <c r="L7" i="2"/>
  <c r="J8" i="2"/>
  <c r="I5" i="1"/>
  <c r="J9" i="2"/>
  <c r="I7" i="1"/>
  <c r="K9" i="2"/>
  <c r="L9" i="2" s="1"/>
  <c r="J10" i="2"/>
  <c r="J7" i="2"/>
  <c r="K10" i="2"/>
  <c r="L10" i="2" s="1"/>
</calcChain>
</file>

<file path=xl/sharedStrings.xml><?xml version="1.0" encoding="utf-8"?>
<sst xmlns="http://schemas.openxmlformats.org/spreadsheetml/2006/main" count="154" uniqueCount="140">
  <si>
    <t>Matriz de riesgos INICIAL — Laboratorio de phishing y monitoreo</t>
  </si>
  <si>
    <t>P e I son valoraciones del equipo (juicio profesional, no mediciones), cada una justificada: OBSERVADO = respaldado por evidencia del laboratorio; JUICIO = criterio del equipo sin medición. Nivel = Probabilidad × Impacto (escala 1–5). Umbrales en la hoja «Escala».</t>
  </si>
  <si>
    <t>ID</t>
  </si>
  <si>
    <t>Activo afectado (concreto)</t>
  </si>
  <si>
    <t>Amenaza</t>
  </si>
  <si>
    <t>Vulnerabilidad</t>
  </si>
  <si>
    <t>Escenario de riesgo</t>
  </si>
  <si>
    <t>Impacto (1–5)</t>
  </si>
  <si>
    <t>Probabilidad (1–5)</t>
  </si>
  <si>
    <t>Nivel de riesgo inherente (P×I)</t>
  </si>
  <si>
    <t>Clasificación</t>
  </si>
  <si>
    <t>Controles existentes</t>
  </si>
  <si>
    <t>Justificación de P e I</t>
  </si>
  <si>
    <t>R-01</t>
  </si>
  <si>
    <t>Cuenta de usuario ficticia «usuario.demo» en la aplicación de autenticación (formulario /login)</t>
  </si>
  <si>
    <t>Atacante que prueba contraseñas de forma repetida (fuerza bruta / adivinación).</t>
  </si>
  <si>
    <t>La aplicación acepta intentos ilimitados de inicio de sesión y no distingue intentos consecutivos fallidos.</t>
  </si>
  <si>
    <t>Un atacante automatiza intentos contra /login hasta adivinar la contraseña y accede a la cuenta; consecuencia: acceso no autorizado a los servicios del portal.</t>
  </si>
  <si>
    <t>Contraseña almacenada con hash (PBKDF2) y mensaje de error genérico. Sin bloqueo ni registro de auditoría.</t>
  </si>
  <si>
    <t>P=4 (OBSERVADO): en modo sin controles se ejecutaron 4 fallos seguidos y la clave correcta entró (302): no hay límite de intentos. I=3 (JUICIO): la cuenta es ficticia pero representa una cuenta de funcionario con acceso a servicios.</t>
  </si>
  <si>
    <t>R-02</t>
  </si>
  <si>
    <t>Cuenta de usuario ficticia (credenciales del funcionario) expuesta a un mensaje con QR / enlace corto</t>
  </si>
  <si>
    <t>Phishing: mensaje simulado con QR o enlace acortado que lleva a un formulario falso.</t>
  </si>
  <si>
    <t>El usuario no puede ver el destino real de un QR o enlace corto; no hay segunda verificación (MFA); poca concienciación.</t>
  </si>
  <si>
    <t>El usuario escanea el QR, ingresa sus credenciales en el formulario y el atacante las reutiliza; consecuencia: suplantación de identidad y acceso a datos.</t>
  </si>
  <si>
    <t>Ninguno (sin MFA ni filtrado de enlaces/QR en el laboratorio).</t>
  </si>
  <si>
    <t>P=4: el phishing por QR/enlace es frecuente y efectivo (ver casos). I=4: credenciales válidas permiten suplantar al usuario.</t>
  </si>
  <si>
    <t>R-03</t>
  </si>
  <si>
    <t>Registros de acceso: auth.log de la aplicación y access.log de Apache/NGINX</t>
  </si>
  <si>
    <t>Incidente sin detección ni reconstrucción posible (falta de trazabilidad).</t>
  </si>
  <si>
    <t>No existe registro de eventos de autenticación en la aplicación; los logs del servidor no muestran usuario ni estado de bloqueo.</t>
  </si>
  <si>
    <t>Se producen intentos fallidos repetidos y nadie puede reconstruir la secuencia ni saber cuándo ni desde dónde; consecuencia: respuesta tardía y falta de evidencia.</t>
  </si>
  <si>
    <t>access.log del servidor web (IP, hora, método, código HTTP). Sin registro a nivel de aplicación.</t>
  </si>
  <si>
    <t>P=4 (OBSERVADO): en modo sin controles la app registró 0 eventos de autenticación; solo existía el access.log del servidor. I=3 (JUICIO): afecta la capacidad de respuesta y de rendir cuentas.</t>
  </si>
  <si>
    <t>R-04</t>
  </si>
  <si>
    <t>Servidor web Apache HTTP Server (proxy inverso de la aplicación)</t>
  </si>
  <si>
    <t>Reconocimiento y explotación de fallas conocidas del software expuesto.</t>
  </si>
  <si>
    <t>Encabezados y mensajes revelan la tecnología interna (p. ej. «Server: gunicorn»); configuración por defecto.</t>
  </si>
  <si>
    <t>Un atacante identifica versión/tecnología y prueba exploits conocidos; consecuencia: compromiso del servidor o indisponibilidad del portal.</t>
  </si>
  <si>
    <t>Ninguno (configuración por defecto).</t>
  </si>
  <si>
    <t>P=3: la exposición es posible pero requiere una falla explotable. I=3: afecta la disponibilidad del portal de pruebas.</t>
  </si>
  <si>
    <t>R-05</t>
  </si>
  <si>
    <t>Servidor web NGINX (proxy inverso de la aplicación)</t>
  </si>
  <si>
    <t>Encabezados y mensajes revelan la tecnología interna; configuración por defecto.</t>
  </si>
  <si>
    <t>Igual que R-04 sobre NGINX; se mantiene como riesgo separado para comparar ambos servidores.</t>
  </si>
  <si>
    <t>Misma justificación que R-04, aplicada a NGINX.</t>
  </si>
  <si>
    <t>R-06</t>
  </si>
  <si>
    <t>Tráfico HTTP de autenticación (credenciales en tránsito entre cliente y servidor)</t>
  </si>
  <si>
    <t>Interceptación del tráfico en la red (sniffing / intermediario).</t>
  </si>
  <si>
    <t>El laboratorio usa HTTP sin cifrado (TLS); las credenciales viajan en claro dentro de la red del laboratorio.</t>
  </si>
  <si>
    <t>Un equipo en la misma red captura el POST /login y obtiene usuario y contraseña; consecuencia: robo de credenciales.</t>
  </si>
  <si>
    <t>Red aislada del laboratorio (control de entorno, no de la aplicación).</t>
  </si>
  <si>
    <t>P=3 (JUICIO): requiere estar en la misma red. I=4 (JUICIO): el tráfico es HTTP y ZAP lo captura en claro; expone directamente las credenciales.</t>
  </si>
  <si>
    <t>R-07</t>
  </si>
  <si>
    <t>Cuenta de usuario ficticia «usuario.demo» (disponibilidad del acceso legítimo al formulario /login)</t>
  </si>
  <si>
    <t>Bloqueo malicioso de la cuenta: denegación de servicio sobre la cuenta legítima.</t>
  </si>
  <si>
    <t>En el estado inicial no existe bloqueo; la vulnerabilidad aparece con el control: 3 fallos de cualquier origen bloquean la cuenta y solo hace falta conocer el nombre de usuario (no hay límite por IP ni CAPTCHA).</t>
  </si>
  <si>
    <t>Un atacante que conoce el nombre de la cuenta envía 3 contraseñas incorrectas cada 120 s y mantiene bloqueado al usuario legítimo; consecuencia: el funcionario no puede acceder al portal.</t>
  </si>
  <si>
    <t>No aplica: sin bloqueo de cuenta no hay forma de negar el acceso mediante intentos fallidos.</t>
  </si>
  <si>
    <t>P=1 (OBSERVADO): en modo sin controles 4 fallos seguidos no impidieron entrar con la clave correcta (302), así que el escenario no puede ocurrir. I=2 (JUICIO): afecta solo la disponibilidad de una cuenta, sin exponer datos, y se recupera sola cuando el atacante se detiene.</t>
  </si>
  <si>
    <t>Matriz de riesgos RESIDUAL — Laboratorio de phishing y monitoreo</t>
  </si>
  <si>
    <t>Misma escala y metodología que la matriz inicial. P e I residuales son valoraciones del equipo justificadas en la columna final (OBSERVADO = evidencia del laboratorio; JUICIO = criterio sin medición). Un control no hace desaparecer el riesgo automáticamente.</t>
  </si>
  <si>
    <t>Activo afectado</t>
  </si>
  <si>
    <t>Control implementado</t>
  </si>
  <si>
    <t>Relación con ISO/IEC 27005</t>
  </si>
  <si>
    <t>Función / categoría NIST CSF 2.0</t>
  </si>
  <si>
    <t>Evidencia de funcionamiento</t>
  </si>
  <si>
    <t>Probabilidad residual (1–5)</t>
  </si>
  <si>
    <t>Impacto residual (1–5)</t>
  </si>
  <si>
    <t>Nivel residual (P×I)</t>
  </si>
  <si>
    <t>Clasificación residual</t>
  </si>
  <si>
    <t>Nivel inicial</t>
  </si>
  <si>
    <t>Variación (residual − inicial)</t>
  </si>
  <si>
    <t>Riesgo que permanece y acciones adicionales</t>
  </si>
  <si>
    <t>Justificación de P e I residual (observado / juicio)</t>
  </si>
  <si>
    <t>Bloqueo temporal de la cuenta tras 3 intentos fallidos consecutivos (120 s) + mensaje informativo + registro de activación y fin del bloqueo.</t>
  </si>
  <si>
    <t>Tratamiento del riesgo (modificar): selección de control que reduce la probabilidad; aceptación del riesgo residual por el responsable.</t>
  </si>
  <si>
    <t>Proteger (PR): PR.AA Gestión de identidades, autenticación y control de acceso. Detectar (DE): DE.CM Monitoreo continuo.</t>
  </si>
  <si>
    <t>OBSERVADO (22/10/2026): escenario S1–S3 en Apache y NGINX: sin controles 4.º fallo=401 y clave correcta durante la prueba=302; con controles 4.º fallo=429 y clave correcta durante el bloqueo=429, 302 al terminar. auth.log: LOCKOUT_START y LOCKOUT_END separados por 120 s. Ver evidence/resultados/, evidence/analisis/comparacion.md y capturas.</t>
  </si>
  <si>
    <t>Un ataque lento o distribuido (varias IP) puede quedar bajo el umbral; el bloqueo puede usarse para negar el servicio a la cuenta legítima. Acciones: límite por IP, MFA, alertas.</t>
  </si>
  <si>
    <t>P=3 (antes 4) — OBSERVADO: con controles solo caben 3 intentos por cada 120 s (≈90 por hora por cuenta) frente a intentos ilimitados sin controles (4.º fallo=401 y clave correcta=302). No baja a 2 porque un ataque lento sigue siendo posible y los usuarios desconocidos nunca se bloquean (captura del auth.log, Figura 8: usuario «123»). I=3 sin cambio (JUICIO): el control no reduce el daño de una cuenta comprometida.</t>
  </si>
  <si>
    <t>Control parcial en el laboratorio: registro del evento LINK_VISIT (campaña) y bloqueo de la cuenta; recomendado: MFA y capacitación con simulacros.</t>
  </si>
  <si>
    <t>Tratamiento del riesgo (modificar / compartir con el usuario): controles técnicos y de concienciación.</t>
  </si>
  <si>
    <t>Proteger (PR): PR.AT Concienciación y capacitación; PR.AA Autenticación. Detectar (DE): DE.AE Análisis de eventos adversos.</t>
  </si>
  <si>
    <t>OBSERVADO: /r/qr1 redirige a /login?ref=afiche-qr y queda registrado LINK_VISIT con la campaña afiche-qr (captura del auth.log, Figura 8). OBSERVADO: con la contraseña correcta el acceso entra en ambos modos (S3 = 302): el bloqueo no actúa sobre una credencial entregada. NO observado: el efecto de MFA o capacitación (no implementados).</t>
  </si>
  <si>
    <t>El riesgo permanece igual: LINK_VISIT solo detecta la visita y el bloqueo no impide usar una contraseña correcta. Acciones: MFA, capacitación y simulacros periódicos, filtrado de QR/enlaces, alerta cuando a un LINK_VISIT le sigue un acceso desde otra IP.</t>
  </si>
  <si>
    <t>P=4 sin cambio — OBSERVADO: LINK_VISIT registra la visita (detección), pero no impide que el usuario entregue su contraseña, y con la contraseña correcta el acceso entra (302) también con controles. MFA y capacitación no se implementaron; un control no implementado no reduce el riesgo. I=4 sin cambio (JUICIO).</t>
  </si>
  <si>
    <t>Registro de auditoría de autenticación (JSON Lines) con fecha/hora, usuario ficticio, resultado, IP y estado de bloqueo, sin contraseñas ni tokens.</t>
  </si>
  <si>
    <t>Monitoreo y revisión del riesgo; tratamiento (modificar): control de detección y trazabilidad.</t>
  </si>
  <si>
    <t>Detectar (DE): DE.CM Monitoreo continuo; DE.AE Análisis de eventos adversos.</t>
  </si>
  <si>
    <t>OBSERVADO: evidence/analisis/*_hardened.md reconstruye la secuencia y la correlación auditoría = access.log = ZAP = 7 intentos. Limitación observada: los intentos con usuario desconocido no cuentan para el bloqueo y el campo usuario se registra tal cual.</t>
  </si>
  <si>
    <t>Los registros están en el mismo host y sin protección de integridad. Acciones: envío a un servidor central/SIEM, retención y control de acceso a los logs.</t>
  </si>
  <si>
    <t>P=3 (antes 4) — OBSERVADO: ahora la app registra 7 de 7 intentos (auditoría = access.log = ZAP). JUICIO: no baja más porque nadie revisa el log de forma automática ni hay alertas, y los registros están en el mismo host. I=3 sin cambio.</t>
  </si>
  <si>
    <t>Endurecimiento de la configuración: ocultar la tecnología interna (encabezado Server), ServerTokens Prod, nosniff, TRACE deshabilitado.</t>
  </si>
  <si>
    <t>Tratamiento del riesgo (modificar): reducción de la superficie de exposición.</t>
  </si>
  <si>
    <t>Proteger (PR): PR.PS Seguridad de la plataforma.</t>
  </si>
  <si>
    <t>OBSERVADO: curl -I a Apache muestra Server: Apache (sin gunicorn) y X-Content-Type-Options una sola vez. No se midió el estado «antes» con capturas.</t>
  </si>
  <si>
    <t>Siguen existiendo fallas desconocidas o de versión. Acciones: parches periódicos, TLS, escaneo de vulnerabilidades.</t>
  </si>
  <si>
    <t>P=3 sin cambio — OBSERVADO: curl -I muestra Server: Apache sin gunicorn, es decir menos información de reconocimiento; pero no hay evidencia de que sea menos explotable, por eso no se baja. I=3 (JUICIO).</t>
  </si>
  <si>
    <t>Endurecimiento equivalente en NGINX: server_tokens off, proxy_hide_header Server, nosniff.</t>
  </si>
  <si>
    <t>OBSERVADO: curl -I a NGINX muestra Server: nginx (sin gunicorn) y X-Content-Type-Options una sola vez.</t>
  </si>
  <si>
    <t>Igual que R-04. Acciones: parches periódicos, TLS, escaneo de vulnerabilidades.</t>
  </si>
  <si>
    <t>P=3 sin cambio — OBSERVADO: curl -I muestra Server: nginx sin gunicorn; no hay evidencia de menor explotabilidad. I=3 (JUICIO).</t>
  </si>
  <si>
    <t>Ninguno implementado en el laboratorio (limitación). Recomendado: HTTPS con TLS y HSTS.</t>
  </si>
  <si>
    <t>Tratamiento del riesgo: se documenta como limitación; el riesgo se acepta temporalmente solo por tratarse de un laboratorio aislado.</t>
  </si>
  <si>
    <t>Proteger (PR): PR.DS Seguridad de los datos (en tránsito).</t>
  </si>
  <si>
    <t>OBSERVADO: ZAP captura los POST http://…/login (HTTP sin cifrado); el CSV del repositorio enmascara los campos. Ningún control de cifrado implementado.</t>
  </si>
  <si>
    <t>El riesgo permanece igual: un control no implementado no reduce el riesgo. Acción: habilitar TLS en Apache y NGINX.</t>
  </si>
  <si>
    <t>P=3 e I=4 sin cambio — OBSERVADO: ZAP captura los POST a http://…/login (sin cifrado); no se implementó ningún control. Un control no implementado no reduce el riesgo.</t>
  </si>
  <si>
    <t>Ninguno específico: es un riesgo introducido por el bloqueo temporal (R-01). Mitigación parcial: el bloqueo dura 120 s y se libera solo; LOCKOUT_START y LOGIN_BLOCKED en auth.log permiten detectarlo.</t>
  </si>
  <si>
    <t>Identificación de un riesgo nuevo durante el monitoreo y la revisión; tratamiento: retener (aceptar) temporalmente en el laboratorio y planificar su modificación.</t>
  </si>
  <si>
    <t>Identificar (ID): ID.RA Evaluación de riesgos. Detectar (DE): DE.CM Monitoreo continuo; DE.AE Análisis de eventos adversos.</t>
  </si>
  <si>
    <t>OBSERVADO: 3 fallos consecutivos desde el navegador (IP 172.22.0.1) bloquearon usuario.demo a las 18:19:34 (captura del auth.log, Figura 8), y en S2 la contraseña correcta fue rechazada con 429 durante el bloqueo en Apache y NGINX. El nombre de la cuenta aparece en el propio mensaje de phishing simulado.</t>
  </si>
  <si>
    <t>Un atacante puede mantener la cuenta bloqueada indefinidamente repitiendo 3 fallos cada 120 s. Acciones: límite por IP o dispositivo, retardo progresivo o CAPTCHA en lugar de bloqueo total, alerta ante bloqueos repetidos y desbloqueo por un canal alternativo (MFA).</t>
  </si>
  <si>
    <t>P=4 (OBSERVADO): bastan 3 intentos fallidos desde cualquier IP y el nombre de usuario es conocido. I=2 (JUICIO): pérdida temporal de disponibilidad de una cuenta, sin pérdida de confidencialidad. Sube de 2 a 8: el control reduce R-01 pero introduce este riesgo, que debe gestionarse.</t>
  </si>
  <si>
    <t>Escala de valoración (definida en la práctica)</t>
  </si>
  <si>
    <t>Valor</t>
  </si>
  <si>
    <t>Probabilidad</t>
  </si>
  <si>
    <t>Impacto</t>
  </si>
  <si>
    <t>Rara</t>
  </si>
  <si>
    <t>Insignificante</t>
  </si>
  <si>
    <t>Improbable</t>
  </si>
  <si>
    <t>Menor</t>
  </si>
  <si>
    <t>Posible</t>
  </si>
  <si>
    <t>Moderado</t>
  </si>
  <si>
    <t>Probable</t>
  </si>
  <si>
    <t>Mayor</t>
  </si>
  <si>
    <t>Casi segura</t>
  </si>
  <si>
    <t>Crítico</t>
  </si>
  <si>
    <t>Nivel de riesgo R = P × I</t>
  </si>
  <si>
    <t>Desde (R ≥)</t>
  </si>
  <si>
    <t>Nivel</t>
  </si>
  <si>
    <t>Rango</t>
  </si>
  <si>
    <t>Bajo</t>
  </si>
  <si>
    <t>1–4</t>
  </si>
  <si>
    <t>5–9</t>
  </si>
  <si>
    <t>Alto</t>
  </si>
  <si>
    <t>10–16</t>
  </si>
  <si>
    <t>17–25</t>
  </si>
  <si>
    <t>Estos umbrales son una convención definida para la práctica.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</si>
</sst>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404040"/>
      <name val="Arial"/>
      <charset val="1"/>
    </font>
    <font>
      <b/>
      <sz val="10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000000"/>
      <name val="Arial"/>
      <charset val="1"/>
    </font>
    <font>
      <i/>
      <sz val="9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0B4"/>
        <bgColor rgb="FFCCFFCC"/>
      </patternFill>
    </fill>
    <fill>
      <patternFill patternType="solid">
        <fgColor rgb="FFFFE699"/>
        <bgColor rgb="FFFFFFCC"/>
      </patternFill>
    </fill>
    <fill>
      <patternFill patternType="solid">
        <fgColor rgb="FFF4B183"/>
        <bgColor rgb="FFFF99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19">
    <xf numFmtId="0" fontId="0" fillId="0" borderId="0" xfId="0" applyAlignment="1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0" xfId="0" applyFont="1" applyAlignment="1"/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9" fillId="0" borderId="0" xfId="0" applyFont="1" applyAlignment="1"/>
  </cellXfs>
  <cellStyles count="1">
    <cellStyle name="Normal" xfId="0" builtinId="0"/>
  </cellStyles>
  <dxfs count="8">
    <dxf>
      <font>
        <b/>
        <color rgb="FF000000"/>
        <name val="Arial"/>
        <charset val="1"/>
      </font>
      <fill>
        <patternFill>
          <bgColor rgb="FFC6E0B4"/>
        </patternFill>
      </fill>
    </dxf>
    <dxf>
      <font>
        <b/>
        <color rgb="FF000000"/>
        <name val="Arial"/>
        <charset val="1"/>
      </font>
      <fill>
        <patternFill>
          <bgColor rgb="FFFFE699"/>
        </patternFill>
      </fill>
    </dxf>
    <dxf>
      <font>
        <b/>
        <color rgb="FF000000"/>
        <name val="Arial"/>
        <charset val="1"/>
      </font>
      <fill>
        <patternFill>
          <bgColor rgb="FFF4B183"/>
        </patternFill>
      </fill>
    </dxf>
    <dxf>
      <font>
        <b/>
        <color rgb="FFFFFFFF"/>
        <name val="Arial"/>
        <charset val="1"/>
      </font>
      <fill>
        <patternFill>
          <bgColor rgb="FFC00000"/>
        </patternFill>
      </fill>
    </dxf>
    <dxf>
      <font>
        <b/>
        <color rgb="FF000000"/>
        <name val="Arial"/>
        <charset val="1"/>
      </font>
      <fill>
        <patternFill>
          <bgColor rgb="FFC6E0B4"/>
        </patternFill>
      </fill>
    </dxf>
    <dxf>
      <font>
        <b/>
        <color rgb="FF000000"/>
        <name val="Arial"/>
        <charset val="1"/>
      </font>
      <fill>
        <patternFill>
          <bgColor rgb="FFFFE699"/>
        </patternFill>
      </fill>
    </dxf>
    <dxf>
      <font>
        <b/>
        <color rgb="FF000000"/>
        <name val="Arial"/>
        <charset val="1"/>
      </font>
      <fill>
        <patternFill>
          <bgColor rgb="FFF4B183"/>
        </patternFill>
      </fill>
    </dxf>
    <dxf>
      <font>
        <b/>
        <color rgb="FFFFFFFF"/>
        <name val="Arial"/>
        <charset val="1"/>
      </font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1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4.4" x14ac:dyDescent="0.3"/>
  <cols>
    <col min="1" max="1" width="7" style="1" customWidth="1"/>
    <col min="2" max="2" width="34" style="1" customWidth="1"/>
    <col min="3" max="3" width="30" style="1" customWidth="1"/>
    <col min="4" max="4" width="34" style="1" customWidth="1"/>
    <col min="5" max="5" width="42" style="1" customWidth="1"/>
    <col min="6" max="6" width="10" style="1" customWidth="1"/>
    <col min="7" max="7" width="12" style="1" customWidth="1"/>
    <col min="8" max="8" width="14" style="1" customWidth="1"/>
    <col min="9" max="9" width="13" style="1" customWidth="1"/>
    <col min="10" max="10" width="34" style="1" customWidth="1"/>
    <col min="11" max="11" width="44" style="1" customWidth="1"/>
  </cols>
  <sheetData>
    <row r="1" spans="1:11" ht="17.399999999999999" customHeight="1" x14ac:dyDescent="0.3">
      <c r="A1" s="2" t="s">
        <v>0</v>
      </c>
    </row>
    <row r="2" spans="1:11" ht="15" customHeight="1" x14ac:dyDescent="0.3">
      <c r="A2" s="3" t="s">
        <v>1</v>
      </c>
    </row>
    <row r="4" spans="1:11" ht="36" customHeight="1" x14ac:dyDescent="0.3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ht="69.75" customHeight="1" x14ac:dyDescent="0.3">
      <c r="A5" s="5" t="s">
        <v>13</v>
      </c>
      <c r="B5" s="6" t="s">
        <v>14</v>
      </c>
      <c r="C5" s="6" t="s">
        <v>15</v>
      </c>
      <c r="D5" s="6" t="s">
        <v>16</v>
      </c>
      <c r="E5" s="6" t="s">
        <v>17</v>
      </c>
      <c r="F5" s="7">
        <v>3</v>
      </c>
      <c r="G5" s="7">
        <v>4</v>
      </c>
      <c r="H5" s="7">
        <f t="shared" ref="H5:H11" si="0">F5*G5</f>
        <v>12</v>
      </c>
      <c r="I5" s="7" t="str">
        <f>LOOKUP(H5,Escala!$A$12:$A$15,Escala!$B$12:$B$15)</f>
        <v>Alto</v>
      </c>
      <c r="J5" s="6" t="s">
        <v>18</v>
      </c>
      <c r="K5" s="6" t="s">
        <v>19</v>
      </c>
    </row>
    <row r="6" spans="1:11" ht="45.75" customHeight="1" x14ac:dyDescent="0.3">
      <c r="A6" s="5" t="s">
        <v>20</v>
      </c>
      <c r="B6" s="6" t="s">
        <v>21</v>
      </c>
      <c r="C6" s="6" t="s">
        <v>22</v>
      </c>
      <c r="D6" s="6" t="s">
        <v>23</v>
      </c>
      <c r="E6" s="6" t="s">
        <v>24</v>
      </c>
      <c r="F6" s="7">
        <v>4</v>
      </c>
      <c r="G6" s="7">
        <v>4</v>
      </c>
      <c r="H6" s="7">
        <f t="shared" si="0"/>
        <v>16</v>
      </c>
      <c r="I6" s="7" t="str">
        <f>LOOKUP(H6,Escala!$A$12:$A$15,Escala!$B$12:$B$15)</f>
        <v>Alto</v>
      </c>
      <c r="J6" s="6" t="s">
        <v>25</v>
      </c>
      <c r="K6" s="6" t="s">
        <v>26</v>
      </c>
    </row>
    <row r="7" spans="1:11" ht="57.75" customHeight="1" x14ac:dyDescent="0.3">
      <c r="A7" s="5" t="s">
        <v>27</v>
      </c>
      <c r="B7" s="6" t="s">
        <v>28</v>
      </c>
      <c r="C7" s="6" t="s">
        <v>29</v>
      </c>
      <c r="D7" s="6" t="s">
        <v>30</v>
      </c>
      <c r="E7" s="6" t="s">
        <v>31</v>
      </c>
      <c r="F7" s="7">
        <v>3</v>
      </c>
      <c r="G7" s="7">
        <v>4</v>
      </c>
      <c r="H7" s="7">
        <f t="shared" si="0"/>
        <v>12</v>
      </c>
      <c r="I7" s="7" t="str">
        <f>LOOKUP(H7,Escala!$A$12:$A$15,Escala!$B$12:$B$15)</f>
        <v>Alto</v>
      </c>
      <c r="J7" s="6" t="s">
        <v>32</v>
      </c>
      <c r="K7" s="6" t="s">
        <v>33</v>
      </c>
    </row>
    <row r="8" spans="1:11" ht="45.75" customHeight="1" x14ac:dyDescent="0.3">
      <c r="A8" s="5" t="s">
        <v>34</v>
      </c>
      <c r="B8" s="6" t="s">
        <v>35</v>
      </c>
      <c r="C8" s="6" t="s">
        <v>36</v>
      </c>
      <c r="D8" s="6" t="s">
        <v>37</v>
      </c>
      <c r="E8" s="6" t="s">
        <v>38</v>
      </c>
      <c r="F8" s="7">
        <v>3</v>
      </c>
      <c r="G8" s="7">
        <v>3</v>
      </c>
      <c r="H8" s="7">
        <f t="shared" si="0"/>
        <v>9</v>
      </c>
      <c r="I8" s="7" t="str">
        <f>LOOKUP(H8,Escala!$A$12:$A$15,Escala!$B$12:$B$15)</f>
        <v>Moderado</v>
      </c>
      <c r="J8" s="6" t="s">
        <v>39</v>
      </c>
      <c r="K8" s="6" t="s">
        <v>40</v>
      </c>
    </row>
    <row r="9" spans="1:11" ht="33.75" customHeight="1" x14ac:dyDescent="0.3">
      <c r="A9" s="5" t="s">
        <v>41</v>
      </c>
      <c r="B9" s="6" t="s">
        <v>42</v>
      </c>
      <c r="C9" s="6" t="s">
        <v>36</v>
      </c>
      <c r="D9" s="6" t="s">
        <v>43</v>
      </c>
      <c r="E9" s="6" t="s">
        <v>44</v>
      </c>
      <c r="F9" s="7">
        <v>3</v>
      </c>
      <c r="G9" s="7">
        <v>3</v>
      </c>
      <c r="H9" s="7">
        <f t="shared" si="0"/>
        <v>9</v>
      </c>
      <c r="I9" s="7" t="str">
        <f>LOOKUP(H9,Escala!$A$12:$A$15,Escala!$B$12:$B$15)</f>
        <v>Moderado</v>
      </c>
      <c r="J9" s="6" t="s">
        <v>39</v>
      </c>
      <c r="K9" s="6" t="s">
        <v>45</v>
      </c>
    </row>
    <row r="10" spans="1:11" ht="45.75" customHeight="1" x14ac:dyDescent="0.3">
      <c r="A10" s="5" t="s">
        <v>46</v>
      </c>
      <c r="B10" s="6" t="s">
        <v>47</v>
      </c>
      <c r="C10" s="6" t="s">
        <v>48</v>
      </c>
      <c r="D10" s="6" t="s">
        <v>49</v>
      </c>
      <c r="E10" s="6" t="s">
        <v>50</v>
      </c>
      <c r="F10" s="7">
        <v>4</v>
      </c>
      <c r="G10" s="7">
        <v>3</v>
      </c>
      <c r="H10" s="7">
        <f t="shared" si="0"/>
        <v>12</v>
      </c>
      <c r="I10" s="7" t="str">
        <f>LOOKUP(H10,Escala!$A$12:$A$15,Escala!$B$12:$B$15)</f>
        <v>Alto</v>
      </c>
      <c r="J10" s="6" t="s">
        <v>51</v>
      </c>
      <c r="K10" s="6" t="s">
        <v>52</v>
      </c>
    </row>
    <row r="11" spans="1:11" ht="45.75" customHeight="1" x14ac:dyDescent="0.3">
      <c r="A11" s="8" t="s">
        <v>53</v>
      </c>
      <c r="B11" s="9" t="s">
        <v>54</v>
      </c>
      <c r="C11" s="9" t="s">
        <v>55</v>
      </c>
      <c r="D11" s="9" t="s">
        <v>56</v>
      </c>
      <c r="E11" s="9" t="s">
        <v>57</v>
      </c>
      <c r="F11" s="10">
        <v>2</v>
      </c>
      <c r="G11" s="10">
        <v>1</v>
      </c>
      <c r="H11" s="10">
        <f t="shared" si="0"/>
        <v>2</v>
      </c>
      <c r="I11" s="10" t="str">
        <f>LOOKUP(H11,Escala!$A$12:$A$15,Escala!$B$12:$B$15)</f>
        <v>Bajo</v>
      </c>
      <c r="J11" s="9" t="s">
        <v>58</v>
      </c>
      <c r="K11" s="9" t="s">
        <v>59</v>
      </c>
    </row>
  </sheetData>
  <conditionalFormatting sqref="I5:I11">
    <cfRule type="expression" dxfId="7" priority="2">
      <formula>I5="Crítico"</formula>
    </cfRule>
    <cfRule type="expression" dxfId="6" priority="3">
      <formula>I5="Alto"</formula>
    </cfRule>
    <cfRule type="expression" dxfId="5" priority="4">
      <formula>I5="Moderado"</formula>
    </cfRule>
    <cfRule type="expression" dxfId="4" priority="5">
      <formula>I5="Bajo"</formula>
    </cfRule>
  </conditionalFormatting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4.4" x14ac:dyDescent="0.3"/>
  <cols>
    <col min="1" max="1" width="7" style="1" customWidth="1"/>
    <col min="2" max="2" width="28" style="1" customWidth="1"/>
    <col min="3" max="3" width="40" style="1" customWidth="1"/>
    <col min="4" max="4" width="36" style="1" customWidth="1"/>
    <col min="5" max="5" width="34" style="1" customWidth="1"/>
    <col min="6" max="6" width="36" style="1" customWidth="1"/>
    <col min="7" max="9" width="12" style="1" customWidth="1"/>
    <col min="10" max="10" width="13" style="1" customWidth="1"/>
    <col min="11" max="11" width="10" style="1" customWidth="1"/>
    <col min="12" max="12" width="13" style="1" customWidth="1"/>
    <col min="13" max="13" width="44" style="1" customWidth="1"/>
    <col min="14" max="14" width="60" style="1" customWidth="1"/>
  </cols>
  <sheetData>
    <row r="1" spans="1:14" ht="17.399999999999999" customHeight="1" x14ac:dyDescent="0.3">
      <c r="A1" s="2" t="s">
        <v>60</v>
      </c>
    </row>
    <row r="2" spans="1:14" ht="15" customHeight="1" x14ac:dyDescent="0.3">
      <c r="A2" s="3" t="s">
        <v>61</v>
      </c>
    </row>
    <row r="4" spans="1:14" ht="36" customHeight="1" x14ac:dyDescent="0.3">
      <c r="A4" s="4" t="s">
        <v>2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  <c r="G4" s="4" t="s">
        <v>67</v>
      </c>
      <c r="H4" s="4" t="s">
        <v>68</v>
      </c>
      <c r="I4" s="4" t="s">
        <v>69</v>
      </c>
      <c r="J4" s="4" t="s">
        <v>70</v>
      </c>
      <c r="K4" s="4" t="s">
        <v>71</v>
      </c>
      <c r="L4" s="4" t="s">
        <v>72</v>
      </c>
      <c r="M4" s="4" t="s">
        <v>73</v>
      </c>
      <c r="N4" s="4" t="s">
        <v>74</v>
      </c>
    </row>
    <row r="5" spans="1:14" ht="105.75" customHeight="1" x14ac:dyDescent="0.3">
      <c r="A5" s="5" t="s">
        <v>13</v>
      </c>
      <c r="B5" s="6" t="str">
        <f>Inicial!B5</f>
        <v>Cuenta de usuario ficticia «usuario.demo» en la aplicación de autenticación (formulario /login)</v>
      </c>
      <c r="C5" s="6" t="s">
        <v>75</v>
      </c>
      <c r="D5" s="6" t="s">
        <v>76</v>
      </c>
      <c r="E5" s="6" t="s">
        <v>77</v>
      </c>
      <c r="F5" s="6" t="s">
        <v>78</v>
      </c>
      <c r="G5" s="7">
        <v>3</v>
      </c>
      <c r="H5" s="7">
        <v>3</v>
      </c>
      <c r="I5" s="7">
        <f t="shared" ref="I5:I11" si="0">G5*H5</f>
        <v>9</v>
      </c>
      <c r="J5" s="7" t="str">
        <f>LOOKUP(I5,Escala!$A$12:$A$15,Escala!$B$12:$B$15)</f>
        <v>Moderado</v>
      </c>
      <c r="K5" s="7">
        <f>Inicial!H5</f>
        <v>12</v>
      </c>
      <c r="L5" s="7">
        <f t="shared" ref="L5:L11" si="1">I5-K5</f>
        <v>-3</v>
      </c>
      <c r="M5" s="6" t="s">
        <v>79</v>
      </c>
      <c r="N5" s="6" t="s">
        <v>80</v>
      </c>
    </row>
    <row r="6" spans="1:14" ht="81.75" customHeight="1" x14ac:dyDescent="0.3">
      <c r="A6" s="5" t="s">
        <v>20</v>
      </c>
      <c r="B6" s="6" t="str">
        <f>Inicial!B6</f>
        <v>Cuenta de usuario ficticia (credenciales del funcionario) expuesta a un mensaje con QR / enlace corto</v>
      </c>
      <c r="C6" s="6" t="s">
        <v>81</v>
      </c>
      <c r="D6" s="6" t="s">
        <v>82</v>
      </c>
      <c r="E6" s="6" t="s">
        <v>83</v>
      </c>
      <c r="F6" s="6" t="s">
        <v>84</v>
      </c>
      <c r="G6" s="7">
        <v>4</v>
      </c>
      <c r="H6" s="7">
        <v>4</v>
      </c>
      <c r="I6" s="7">
        <f t="shared" si="0"/>
        <v>16</v>
      </c>
      <c r="J6" s="7" t="str">
        <f>LOOKUP(I6,Escala!$A$12:$A$15,Escala!$B$12:$B$15)</f>
        <v>Alto</v>
      </c>
      <c r="K6" s="7">
        <f>Inicial!H6</f>
        <v>16</v>
      </c>
      <c r="L6" s="7">
        <f t="shared" si="1"/>
        <v>0</v>
      </c>
      <c r="M6" s="6" t="s">
        <v>85</v>
      </c>
      <c r="N6" s="6" t="s">
        <v>86</v>
      </c>
    </row>
    <row r="7" spans="1:14" ht="81.75" customHeight="1" x14ac:dyDescent="0.3">
      <c r="A7" s="5" t="s">
        <v>27</v>
      </c>
      <c r="B7" s="6" t="str">
        <f>Inicial!B7</f>
        <v>Registros de acceso: auth.log de la aplicación y access.log de Apache/NGINX</v>
      </c>
      <c r="C7" s="6" t="s">
        <v>87</v>
      </c>
      <c r="D7" s="6" t="s">
        <v>88</v>
      </c>
      <c r="E7" s="6" t="s">
        <v>89</v>
      </c>
      <c r="F7" s="6" t="s">
        <v>90</v>
      </c>
      <c r="G7" s="7">
        <v>3</v>
      </c>
      <c r="H7" s="7">
        <v>3</v>
      </c>
      <c r="I7" s="7">
        <f t="shared" si="0"/>
        <v>9</v>
      </c>
      <c r="J7" s="7" t="str">
        <f>LOOKUP(I7,Escala!$A$12:$A$15,Escala!$B$12:$B$15)</f>
        <v>Moderado</v>
      </c>
      <c r="K7" s="7">
        <f>Inicial!H7</f>
        <v>12</v>
      </c>
      <c r="L7" s="7">
        <f t="shared" si="1"/>
        <v>-3</v>
      </c>
      <c r="M7" s="6" t="s">
        <v>91</v>
      </c>
      <c r="N7" s="6" t="s">
        <v>92</v>
      </c>
    </row>
    <row r="8" spans="1:14" ht="57.75" customHeight="1" x14ac:dyDescent="0.3">
      <c r="A8" s="5" t="s">
        <v>34</v>
      </c>
      <c r="B8" s="6" t="str">
        <f>Inicial!B8</f>
        <v>Servidor web Apache HTTP Server (proxy inverso de la aplicación)</v>
      </c>
      <c r="C8" s="6" t="s">
        <v>93</v>
      </c>
      <c r="D8" s="6" t="s">
        <v>94</v>
      </c>
      <c r="E8" s="6" t="s">
        <v>95</v>
      </c>
      <c r="F8" s="6" t="s">
        <v>96</v>
      </c>
      <c r="G8" s="7">
        <v>3</v>
      </c>
      <c r="H8" s="7">
        <v>3</v>
      </c>
      <c r="I8" s="7">
        <f t="shared" si="0"/>
        <v>9</v>
      </c>
      <c r="J8" s="7" t="str">
        <f>LOOKUP(I8,Escala!$A$12:$A$15,Escala!$B$12:$B$15)</f>
        <v>Moderado</v>
      </c>
      <c r="K8" s="7">
        <f>Inicial!H8</f>
        <v>9</v>
      </c>
      <c r="L8" s="7">
        <f t="shared" si="1"/>
        <v>0</v>
      </c>
      <c r="M8" s="6" t="s">
        <v>97</v>
      </c>
      <c r="N8" s="6" t="s">
        <v>98</v>
      </c>
    </row>
    <row r="9" spans="1:14" ht="45.75" customHeight="1" x14ac:dyDescent="0.3">
      <c r="A9" s="5" t="s">
        <v>41</v>
      </c>
      <c r="B9" s="6" t="str">
        <f>Inicial!B9</f>
        <v>Servidor web NGINX (proxy inverso de la aplicación)</v>
      </c>
      <c r="C9" s="6" t="s">
        <v>99</v>
      </c>
      <c r="D9" s="6" t="s">
        <v>94</v>
      </c>
      <c r="E9" s="6" t="s">
        <v>95</v>
      </c>
      <c r="F9" s="6" t="s">
        <v>100</v>
      </c>
      <c r="G9" s="7">
        <v>3</v>
      </c>
      <c r="H9" s="7">
        <v>3</v>
      </c>
      <c r="I9" s="7">
        <f t="shared" si="0"/>
        <v>9</v>
      </c>
      <c r="J9" s="7" t="str">
        <f>LOOKUP(I9,Escala!$A$12:$A$15,Escala!$B$12:$B$15)</f>
        <v>Moderado</v>
      </c>
      <c r="K9" s="7">
        <f>Inicial!H9</f>
        <v>9</v>
      </c>
      <c r="L9" s="7">
        <f t="shared" si="1"/>
        <v>0</v>
      </c>
      <c r="M9" s="6" t="s">
        <v>101</v>
      </c>
      <c r="N9" s="6" t="s">
        <v>102</v>
      </c>
    </row>
    <row r="10" spans="1:14" ht="57.75" customHeight="1" x14ac:dyDescent="0.3">
      <c r="A10" s="5" t="s">
        <v>46</v>
      </c>
      <c r="B10" s="6" t="str">
        <f>Inicial!B10</f>
        <v>Tráfico HTTP de autenticación (credenciales en tránsito entre cliente y servidor)</v>
      </c>
      <c r="C10" s="6" t="s">
        <v>103</v>
      </c>
      <c r="D10" s="6" t="s">
        <v>104</v>
      </c>
      <c r="E10" s="6" t="s">
        <v>105</v>
      </c>
      <c r="F10" s="6" t="s">
        <v>106</v>
      </c>
      <c r="G10" s="7">
        <v>3</v>
      </c>
      <c r="H10" s="7">
        <v>4</v>
      </c>
      <c r="I10" s="7">
        <f t="shared" si="0"/>
        <v>12</v>
      </c>
      <c r="J10" s="7" t="str">
        <f>LOOKUP(I10,Escala!$A$12:$A$15,Escala!$B$12:$B$15)</f>
        <v>Alto</v>
      </c>
      <c r="K10" s="7">
        <f>Inicial!H10</f>
        <v>12</v>
      </c>
      <c r="L10" s="7">
        <f t="shared" si="1"/>
        <v>0</v>
      </c>
      <c r="M10" s="6" t="s">
        <v>107</v>
      </c>
      <c r="N10" s="6" t="s">
        <v>108</v>
      </c>
    </row>
    <row r="11" spans="1:14" ht="57.75" customHeight="1" x14ac:dyDescent="0.3">
      <c r="A11" s="8" t="s">
        <v>53</v>
      </c>
      <c r="B11" s="9" t="str">
        <f>Inicial!B11</f>
        <v>Cuenta de usuario ficticia «usuario.demo» (disponibilidad del acceso legítimo al formulario /login)</v>
      </c>
      <c r="C11" s="9" t="s">
        <v>109</v>
      </c>
      <c r="D11" s="9" t="s">
        <v>110</v>
      </c>
      <c r="E11" s="9" t="s">
        <v>111</v>
      </c>
      <c r="F11" s="9" t="s">
        <v>112</v>
      </c>
      <c r="G11" s="10">
        <v>4</v>
      </c>
      <c r="H11" s="10">
        <v>2</v>
      </c>
      <c r="I11" s="10">
        <f t="shared" si="0"/>
        <v>8</v>
      </c>
      <c r="J11" s="10" t="str">
        <f>LOOKUP(I11,Escala!$A$12:$A$15,Escala!$B$12:$B$15)</f>
        <v>Moderado</v>
      </c>
      <c r="K11" s="10">
        <f>Inicial!H11</f>
        <v>2</v>
      </c>
      <c r="L11" s="10">
        <f t="shared" si="1"/>
        <v>6</v>
      </c>
      <c r="M11" s="9" t="s">
        <v>113</v>
      </c>
      <c r="N11" s="9" t="s">
        <v>114</v>
      </c>
    </row>
  </sheetData>
  <conditionalFormatting sqref="J5:J11">
    <cfRule type="expression" dxfId="3" priority="2">
      <formula>J5="Crítico"</formula>
    </cfRule>
    <cfRule type="expression" dxfId="2" priority="3">
      <formula>J5="Alto"</formula>
    </cfRule>
    <cfRule type="expression" dxfId="1" priority="4">
      <formula>J5="Moderado"</formula>
    </cfRule>
    <cfRule type="expression" dxfId="0" priority="5">
      <formula>J5="Bajo"</formula>
    </cfRule>
  </conditionalFormatting>
  <pageMargins left="0.75" right="0.75" top="1" bottom="1" header="0.511811023622047" footer="0.511811023622047"/>
  <pageSetup paperSize="8"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zoomScaleNormal="100" workbookViewId="0"/>
  </sheetViews>
  <sheetFormatPr baseColWidth="10" defaultColWidth="8.6640625" defaultRowHeight="14.4" x14ac:dyDescent="0.3"/>
  <cols>
    <col min="1" max="1" width="16" style="1" customWidth="1"/>
    <col min="2" max="3" width="18" style="1" customWidth="1"/>
  </cols>
  <sheetData>
    <row r="1" spans="1:3" ht="17.399999999999999" customHeight="1" x14ac:dyDescent="0.3">
      <c r="A1" s="2" t="s">
        <v>115</v>
      </c>
    </row>
    <row r="4" spans="1:3" ht="15" customHeight="1" x14ac:dyDescent="0.3">
      <c r="A4" s="11" t="s">
        <v>116</v>
      </c>
      <c r="B4" s="11" t="s">
        <v>117</v>
      </c>
      <c r="C4" s="11" t="s">
        <v>118</v>
      </c>
    </row>
    <row r="5" spans="1:3" ht="15" customHeight="1" x14ac:dyDescent="0.3">
      <c r="A5" s="12">
        <v>1</v>
      </c>
      <c r="B5" s="12" t="s">
        <v>119</v>
      </c>
      <c r="C5" s="12" t="s">
        <v>120</v>
      </c>
    </row>
    <row r="6" spans="1:3" ht="15" customHeight="1" x14ac:dyDescent="0.3">
      <c r="A6" s="12">
        <v>2</v>
      </c>
      <c r="B6" s="12" t="s">
        <v>121</v>
      </c>
      <c r="C6" s="12" t="s">
        <v>122</v>
      </c>
    </row>
    <row r="7" spans="1:3" ht="15" customHeight="1" x14ac:dyDescent="0.3">
      <c r="A7" s="12">
        <v>3</v>
      </c>
      <c r="B7" s="12" t="s">
        <v>123</v>
      </c>
      <c r="C7" s="12" t="s">
        <v>124</v>
      </c>
    </row>
    <row r="8" spans="1:3" ht="15" customHeight="1" x14ac:dyDescent="0.3">
      <c r="A8" s="12">
        <v>4</v>
      </c>
      <c r="B8" s="12" t="s">
        <v>125</v>
      </c>
      <c r="C8" s="12" t="s">
        <v>126</v>
      </c>
    </row>
    <row r="9" spans="1:3" ht="15" customHeight="1" x14ac:dyDescent="0.3">
      <c r="A9" s="12">
        <v>5</v>
      </c>
      <c r="B9" s="12" t="s">
        <v>127</v>
      </c>
      <c r="C9" s="12" t="s">
        <v>128</v>
      </c>
    </row>
    <row r="10" spans="1:3" ht="15" customHeight="1" x14ac:dyDescent="0.3">
      <c r="A10" s="13" t="s">
        <v>129</v>
      </c>
    </row>
    <row r="11" spans="1:3" ht="15" customHeight="1" x14ac:dyDescent="0.3">
      <c r="A11" s="11" t="s">
        <v>130</v>
      </c>
      <c r="B11" s="11" t="s">
        <v>131</v>
      </c>
      <c r="C11" s="11" t="s">
        <v>132</v>
      </c>
    </row>
    <row r="12" spans="1:3" ht="15" customHeight="1" x14ac:dyDescent="0.3">
      <c r="A12" s="12">
        <v>1</v>
      </c>
      <c r="B12" s="14" t="s">
        <v>133</v>
      </c>
      <c r="C12" s="12" t="s">
        <v>134</v>
      </c>
    </row>
    <row r="13" spans="1:3" ht="15" customHeight="1" x14ac:dyDescent="0.3">
      <c r="A13" s="12">
        <v>5</v>
      </c>
      <c r="B13" s="15" t="s">
        <v>124</v>
      </c>
      <c r="C13" s="12" t="s">
        <v>135</v>
      </c>
    </row>
    <row r="14" spans="1:3" ht="15" customHeight="1" x14ac:dyDescent="0.3">
      <c r="A14" s="12">
        <v>10</v>
      </c>
      <c r="B14" s="16" t="s">
        <v>136</v>
      </c>
      <c r="C14" s="12" t="s">
        <v>137</v>
      </c>
    </row>
    <row r="15" spans="1:3" ht="15" customHeight="1" x14ac:dyDescent="0.3">
      <c r="A15" s="12">
        <v>17</v>
      </c>
      <c r="B15" s="17" t="s">
        <v>128</v>
      </c>
      <c r="C15" s="12" t="s">
        <v>138</v>
      </c>
    </row>
    <row r="18" spans="1:1" ht="15" customHeight="1" x14ac:dyDescent="0.3">
      <c r="A18" s="18" t="s">
        <v>139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Inicial</vt:lpstr>
      <vt:lpstr>Residual</vt:lpstr>
      <vt:lpstr>Escala</vt:lpstr>
      <vt:lpstr>Inicial!Print_Titles</vt:lpstr>
      <vt:lpstr>Residual!Print_Titles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Acuña</dc:creator>
  <cp:lastModifiedBy>User</cp:lastModifiedBy>
  <cp:revision>0</cp:revision>
  <dcterms:created xsi:type="dcterms:W3CDTF">2026-10-22T18:32:39Z</dcterms:created>
  <dcterms:modified xsi:type="dcterms:W3CDTF">2026-10-24T15:44:07Z</dcterms:modified>
  <dc:language>en-US</dc:language>
</cp:coreProperties>
</file>