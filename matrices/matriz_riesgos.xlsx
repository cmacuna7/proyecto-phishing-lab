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al" sheetId="1" state="visible" r:id="rId3"/>
    <sheet name="Residual" sheetId="2" state="visible" r:id="rId4"/>
    <sheet name="Escala" sheetId="3" state="visible" r:id="rId5"/>
  </sheets>
  <definedNames>
    <definedName function="false" hidden="false" localSheetId="0" name="_xlnm.Print_Titles" vbProcedure="false">Inicial!$4:$4</definedName>
    <definedName function="false" hidden="false" localSheetId="1" name="_xlnm.Print_Titles" vbProcedure="false">Residual!$4:$4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<sst xmlns="http://schemas.openxmlformats.org/spreadsheetml/2006/main" count="133" uniqueCount="120">
  <si>
    <t xml:space="preserve">Matriz de riesgos INICIAL — Laboratorio de phishing y monitoreo (BORRADOR)</t>
  </si>
  <si>
    <t xml:space="preserve">Valores de P e I = estimación inicial del equipo; justificarlos y ajustarlos con la evidencia. Nivel = Probabilidad × Impacto (escala 1–5). Umbrales en la hoja «Escala».</t>
  </si>
  <si>
    <t xml:space="preserve">ID</t>
  </si>
  <si>
    <t xml:space="preserve">Activo afectado (concreto)</t>
  </si>
  <si>
    <t xml:space="preserve">Amenaza</t>
  </si>
  <si>
    <t xml:space="preserve">Vulnerabilidad</t>
  </si>
  <si>
    <t xml:space="preserve">Escenario de riesgo</t>
  </si>
  <si>
    <t xml:space="preserve">Impacto (1–5)</t>
  </si>
  <si>
    <t xml:space="preserve">Probabilidad (1–5)</t>
  </si>
  <si>
    <t xml:space="preserve">Nivel de riesgo inherente (P×I)</t>
  </si>
  <si>
    <t xml:space="preserve">Clasificación</t>
  </si>
  <si>
    <t xml:space="preserve">Controles existentes</t>
  </si>
  <si>
    <t xml:space="preserve">Justificación de P e I</t>
  </si>
  <si>
    <t xml:space="preserve">R-01</t>
  </si>
  <si>
    <t xml:space="preserve">Cuenta de usuario ficticia «usuario.demo» en la aplicación de autenticación (formulario /login)</t>
  </si>
  <si>
    <t xml:space="preserve">Atacante que prueba contraseñas de forma repetida (fuerza bruta / adivinación).</t>
  </si>
  <si>
    <t xml:space="preserve">La aplicación acepta intentos ilimitados de inicio de sesión y no distingue intentos consecutivos fallidos.</t>
  </si>
  <si>
    <t xml:space="preserve">Un atacante automatiza intentos contra /login hasta adivinar la contraseña y accede a la cuenta; consecuencia: acceso no autorizado a los servicios del portal.</t>
  </si>
  <si>
    <t xml:space="preserve">Contraseña almacenada con hash (PBKDF2) y mensaje de error genérico. Sin bloqueo ni registro de auditoría.</t>
  </si>
  <si>
    <t xml:space="preserve">P=4: no hay límite de intentos y la herramienta de ataque es trivial. I=3: la cuenta es ficticia pero representa una cuenta de funcionario con acceso a servicios.</t>
  </si>
  <si>
    <t xml:space="preserve">R-02</t>
  </si>
  <si>
    <t xml:space="preserve">Cuenta de usuario ficticia (credenciales del funcionario) expuesta a un mensaje con QR / enlace corto</t>
  </si>
  <si>
    <t xml:space="preserve">Phishing: mensaje simulado con QR o enlace acortado que lleva a un formulario falso.</t>
  </si>
  <si>
    <t xml:space="preserve">El usuario no puede ver el destino real de un QR o enlace corto; no hay segunda verificación (MFA); poca concienciación.</t>
  </si>
  <si>
    <t xml:space="preserve">El usuario escanea el QR, ingresa sus credenciales en el formulario y el atacante las reutiliza; consecuencia: suplantación de identidad y acceso a datos.</t>
  </si>
  <si>
    <t xml:space="preserve">Ninguno (sin MFA ni filtrado de enlaces/QR en el laboratorio).</t>
  </si>
  <si>
    <t xml:space="preserve">P=4: el phishing por QR/enlace es frecuente y efectivo (ver casos). I=4: credenciales válidas permiten suplantar al usuario.</t>
  </si>
  <si>
    <t xml:space="preserve">R-03</t>
  </si>
  <si>
    <t xml:space="preserve">Registros de acceso: auth.log de la aplicación y access.log de Apache/NGINX</t>
  </si>
  <si>
    <t xml:space="preserve">Incidente sin detección ni reconstrucción posible (falta de trazabilidad).</t>
  </si>
  <si>
    <t xml:space="preserve">No existe registro de eventos de autenticación en la aplicación; los logs del servidor no muestran usuario ni estado de bloqueo.</t>
  </si>
  <si>
    <t xml:space="preserve">Se producen intentos fallidos repetidos y nadie puede reconstruir la secuencia ni saber cuándo ni desde dónde; consecuencia: respuesta tardía y falta de evidencia.</t>
  </si>
  <si>
    <t xml:space="preserve">access.log del servidor web (IP, hora, método, código HTTP). Sin registro a nivel de aplicación.</t>
  </si>
  <si>
    <t xml:space="preserve">P=4: sin auditoría el evento ocurre sin ser detectado. I=3: afecta la capacidad de respuesta y de rendir cuentas.</t>
  </si>
  <si>
    <t xml:space="preserve">R-04</t>
  </si>
  <si>
    <t xml:space="preserve">Servidor web Apache HTTP Server (proxy inverso de la aplicación)</t>
  </si>
  <si>
    <t xml:space="preserve">Reconocimiento y explotación de fallas conocidas del software expuesto.</t>
  </si>
  <si>
    <t xml:space="preserve">Encabezados y mensajes revelan la tecnología interna (p. ej. «Server: gunicorn»); configuración por defecto.</t>
  </si>
  <si>
    <t xml:space="preserve">Un atacante identifica versión/tecnología y prueba exploits conocidos; consecuencia: compromiso del servidor o indisponibilidad del portal.</t>
  </si>
  <si>
    <t xml:space="preserve">Ninguno (configuración por defecto).</t>
  </si>
  <si>
    <t xml:space="preserve">P=3: la exposición es posible pero requiere una falla explotable. I=3: afecta la disponibilidad del portal de pruebas.</t>
  </si>
  <si>
    <t xml:space="preserve">R-05</t>
  </si>
  <si>
    <t xml:space="preserve">Servidor web NGINX (proxy inverso de la aplicación)</t>
  </si>
  <si>
    <t xml:space="preserve">Encabezados y mensajes revelan la tecnología interna; configuración por defecto.</t>
  </si>
  <si>
    <t xml:space="preserve">Igual que R-04 sobre NGINX; se mantiene como riesgo separado para comparar ambos servidores.</t>
  </si>
  <si>
    <t xml:space="preserve">Misma justificación que R-04, aplicada a NGINX.</t>
  </si>
  <si>
    <t xml:space="preserve">R-06</t>
  </si>
  <si>
    <t xml:space="preserve">Tráfico HTTP de autenticación (credenciales en tránsito entre cliente y servidor)</t>
  </si>
  <si>
    <t xml:space="preserve">Interceptación del tráfico en la red (sniffing / intermediario).</t>
  </si>
  <si>
    <t xml:space="preserve">El laboratorio usa HTTP sin cifrado (TLS); las credenciales viajan en claro dentro de la red del laboratorio.</t>
  </si>
  <si>
    <t xml:space="preserve">Un equipo en la misma red captura el POST /login y obtiene usuario y contraseña; consecuencia: robo de credenciales.</t>
  </si>
  <si>
    <t xml:space="preserve">Red aislada del laboratorio (control de entorno, no de la aplicación).</t>
  </si>
  <si>
    <t xml:space="preserve">P=3: requiere estar en la misma red. I=4: expone directamente las credenciales.</t>
  </si>
  <si>
    <t xml:space="preserve">Matriz de riesgos RESIDUAL — Laboratorio de phishing y monitoreo (BORRADOR)</t>
  </si>
  <si>
    <t xml:space="preserve">Misma escala y metodología que la matriz inicial. P e I se vuelven a estimar considerando la eficacia esperada de los controles; reemplazar «PENDIENTE» con la evidencia real del laboratorio. Un control no hace desaparecer el riesgo automáticamente.</t>
  </si>
  <si>
    <t xml:space="preserve">Activo afectado</t>
  </si>
  <si>
    <t xml:space="preserve">Control implementado</t>
  </si>
  <si>
    <t xml:space="preserve">Relación con ISO/IEC 27005</t>
  </si>
  <si>
    <t xml:space="preserve">Función / categoría NIST CSF 2.0</t>
  </si>
  <si>
    <t xml:space="preserve">Evidencia de funcionamiento</t>
  </si>
  <si>
    <t xml:space="preserve">Probabilidad residual (1–5)</t>
  </si>
  <si>
    <t xml:space="preserve">Impacto residual (1–5)</t>
  </si>
  <si>
    <t xml:space="preserve">Nivel residual (P×I)</t>
  </si>
  <si>
    <t xml:space="preserve">Clasificación residual</t>
  </si>
  <si>
    <t xml:space="preserve">Nivel inicial</t>
  </si>
  <si>
    <t xml:space="preserve">Variación (residual − inicial)</t>
  </si>
  <si>
    <t xml:space="preserve">Riesgo que permanece y acciones adicionales</t>
  </si>
  <si>
    <t xml:space="preserve">Bloqueo temporal de la cuenta tras 3 intentos fallidos consecutivos (120 s) + mensaje informativo + registro de activación y fin del bloqueo.</t>
  </si>
  <si>
    <t xml:space="preserve">Tratamiento del riesgo (modificar): selección de control que reduce la probabilidad; aceptación del riesgo residual por el responsable.</t>
  </si>
  <si>
    <t xml:space="preserve">Proteger (PR): PR.AA Gestión de identidades, autenticación y control de acceso. Detectar (DE): DE.CM Monitoreo continuo.</t>
  </si>
  <si>
    <t xml:space="preserve">OBSERVADO (22/10/2026): escenario S1–S3 en Apache y NGINX: sin controles 4.º fallo=401 y clave correcta durante la prueba=302; con controles 4.º fallo=429 y clave correcta durante el bloqueo=429, 302 al terminar. auth.log: LOCKOUT_START y LOCKOUT_END separados por 120 s. Ver evidence/resultados/, evidence/analisis/comparacion.md y capturas.</t>
  </si>
  <si>
    <t xml:space="preserve">Un ataque lento o distribuido (varias IP) puede quedar bajo el umbral; el bloqueo puede usarse para negar el servicio a la cuenta legítima. Acciones: límite por IP, MFA, alertas.</t>
  </si>
  <si>
    <t xml:space="preserve">Control parcial en el laboratorio: registro del evento LINK_VISIT (campaña) y bloqueo de la cuenta; recomendado: MFA y capacitación con simulacros.</t>
  </si>
  <si>
    <t xml:space="preserve">Tratamiento del riesgo (modificar / compartir con el usuario): controles técnicos y de concienciación.</t>
  </si>
  <si>
    <t xml:space="preserve">Proteger (PR): PR.AT Concienciación y capacitación; PR.AA Autenticación. Detectar (DE): DE.AE Análisis de eventos adversos.</t>
  </si>
  <si>
    <t xml:space="preserve">OBSERVADO: /r/qr1 redirige a /login?ref=afiche-qr y queda registrado LINK_VISIT con la campaña afiche-qr en auth.log (capturas del mensaje, QR, login y auth.log). NO observado: el efecto de MFA o capacitación (no implementados).</t>
  </si>
  <si>
    <t xml:space="preserve">Las credenciales capturadas siguen siendo válidas hasta el cambio; el bloqueo no impide el uso inmediato de una contraseña correcta. Acciones: MFA, capacitación periódica, filtrado de QR/enlaces.</t>
  </si>
  <si>
    <t xml:space="preserve">Registro de auditoría de autenticación (JSON Lines) con fecha/hora, usuario ficticio, resultado, IP y estado de bloqueo, sin contraseñas ni tokens.</t>
  </si>
  <si>
    <t xml:space="preserve">Monitoreo y revisión del riesgo; tratamiento (modificar): control de detección y trazabilidad.</t>
  </si>
  <si>
    <t xml:space="preserve">Detectar (DE): DE.CM Monitoreo continuo; DE.AE Análisis de eventos adversos.</t>
  </si>
  <si>
    <t xml:space="preserve">OBSERVADO: evidence/analisis/*_hardened.md reconstruye la secuencia y la correlación auditoría = access.log = ZAP = 7 intentos. Limitación observada: los intentos con usuario desconocido no cuentan para el bloqueo y el campo usuario se registra tal cual.</t>
  </si>
  <si>
    <t xml:space="preserve">Los registros están en el mismo host y sin protección de integridad. Acciones: envío a un servidor central/SIEM, retención y control de acceso a los logs.</t>
  </si>
  <si>
    <t xml:space="preserve">Endurecimiento de la configuración: ocultar la tecnología interna (encabezado Server), ServerTokens Prod, nosniff, TRACE deshabilitado.</t>
  </si>
  <si>
    <t xml:space="preserve">Tratamiento del riesgo (modificar): reducción de la superficie de exposición.</t>
  </si>
  <si>
    <t xml:space="preserve">Proteger (PR): PR.PS Seguridad de la plataforma.</t>
  </si>
  <si>
    <t xml:space="preserve">OBSERVADO: curl -I a Apache muestra Server: Apache (sin gunicorn) y X-Content-Type-Options una sola vez. No se midió el estado «antes» con capturas.</t>
  </si>
  <si>
    <t xml:space="preserve">Siguen existiendo fallas desconocidas o de versión. Acciones: parches periódicos, TLS, escaneo de vulnerabilidades.</t>
  </si>
  <si>
    <t xml:space="preserve">Endurecimiento equivalente en NGINX: server_tokens off, proxy_hide_header Server, nosniff.</t>
  </si>
  <si>
    <t xml:space="preserve">OBSERVADO: curl -I a NGINX muestra Server: nginx (sin gunicorn) y X-Content-Type-Options una sola vez.</t>
  </si>
  <si>
    <t xml:space="preserve">Igual que R-04. Acciones: parches periódicos, TLS, escaneo de vulnerabilidades.</t>
  </si>
  <si>
    <t xml:space="preserve">Ninguno implementado en el laboratorio (limitación). Recomendado: HTTPS con TLS y HSTS.</t>
  </si>
  <si>
    <t xml:space="preserve">Tratamiento del riesgo: se documenta como limitación; el riesgo se acepta temporalmente solo por tratarse de un laboratorio aislado.</t>
  </si>
  <si>
    <t xml:space="preserve">Proteger (PR): PR.DS Seguridad de los datos (en tránsito).</t>
  </si>
  <si>
    <t xml:space="preserve">OBSERVADO: ZAP captura los POST http://…/login (HTTP sin cifrado); el CSV del repositorio enmascara los campos. Ningún control de cifrado implementado.</t>
  </si>
  <si>
    <t xml:space="preserve">El riesgo permanece igual: un control no implementado no reduce el riesgo. Acción: habilitar TLS en Apache y NGINX.</t>
  </si>
  <si>
    <t xml:space="preserve">Escala de valoración (definida en la práctica)</t>
  </si>
  <si>
    <t xml:space="preserve">Valor</t>
  </si>
  <si>
    <t xml:space="preserve">Probabilidad</t>
  </si>
  <si>
    <t xml:space="preserve">Impacto</t>
  </si>
  <si>
    <t xml:space="preserve">Rara</t>
  </si>
  <si>
    <t xml:space="preserve">Insignificante</t>
  </si>
  <si>
    <t xml:space="preserve">Improbable</t>
  </si>
  <si>
    <t xml:space="preserve">Menor</t>
  </si>
  <si>
    <t xml:space="preserve">Posible</t>
  </si>
  <si>
    <t xml:space="preserve">Moderado</t>
  </si>
  <si>
    <t xml:space="preserve">Probable</t>
  </si>
  <si>
    <t xml:space="preserve">Mayor</t>
  </si>
  <si>
    <t xml:space="preserve">Casi segura</t>
  </si>
  <si>
    <t xml:space="preserve">Crítico</t>
  </si>
  <si>
    <t xml:space="preserve">Nivel de riesgo R = P × I</t>
  </si>
  <si>
    <t xml:space="preserve">Desde (R ≥)</t>
  </si>
  <si>
    <t xml:space="preserve">Nivel</t>
  </si>
  <si>
    <t xml:space="preserve">Rango</t>
  </si>
  <si>
    <t xml:space="preserve">Bajo</t>
  </si>
  <si>
    <t xml:space="preserve">1–4</t>
  </si>
  <si>
    <t xml:space="preserve">5–9</t>
  </si>
  <si>
    <t xml:space="preserve">Alto</t>
  </si>
  <si>
    <t xml:space="preserve">10–16</t>
  </si>
  <si>
    <t xml:space="preserve">17–25</t>
  </si>
  <si>
    <t xml:space="preserve">Estos umbrales son una convención definida para la práctica.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</si>
</sst>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CCFFCC"/>
      </patternFill>
    </fill>
    <fill>
      <patternFill patternType="solid">
        <fgColor rgb="FFFFE699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7.75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6" t="n">
        <v>3</v>
      </c>
      <c r="G5" s="6" t="n">
        <v>4</v>
      </c>
      <c r="H5" s="6" t="n">
        <f aca="false">F5*G5</f>
        <v>12</v>
      </c>
      <c r="I5" s="6" t="str">
        <f aca="false">LOOKUP(H5,Escala!$A$12:$A$15,Escala!$B$12:$B$15)</f>
        <v>Alto</v>
      </c>
      <c r="J5" s="5" t="s">
        <v>18</v>
      </c>
      <c r="K5" s="5" t="s">
        <v>19</v>
      </c>
    </row>
    <row r="6" customFormat="false" ht="45.75" hidden="false" customHeight="true" outlineLevel="0" collapsed="false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6" t="n">
        <v>4</v>
      </c>
      <c r="G6" s="6" t="n">
        <v>4</v>
      </c>
      <c r="H6" s="6" t="n">
        <f aca="false">F6*G6</f>
        <v>16</v>
      </c>
      <c r="I6" s="6" t="str">
        <f aca="false">LOOKUP(H6,Escala!$A$12:$A$15,Escala!$B$12:$B$15)</f>
        <v>Alto</v>
      </c>
      <c r="J6" s="5" t="s">
        <v>25</v>
      </c>
      <c r="K6" s="5" t="s">
        <v>26</v>
      </c>
    </row>
    <row r="7" customFormat="false" ht="57.75" hidden="false" customHeight="true" outlineLevel="0" collapsed="false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6" t="n">
        <v>3</v>
      </c>
      <c r="G7" s="6" t="n">
        <v>4</v>
      </c>
      <c r="H7" s="6" t="n">
        <f aca="false">F7*G7</f>
        <v>12</v>
      </c>
      <c r="I7" s="6" t="str">
        <f aca="false">LOOKUP(H7,Escala!$A$12:$A$15,Escala!$B$12:$B$15)</f>
        <v>Alto</v>
      </c>
      <c r="J7" s="5" t="s">
        <v>32</v>
      </c>
      <c r="K7" s="5" t="s">
        <v>33</v>
      </c>
    </row>
    <row r="8" customFormat="false" ht="45.75" hidden="false" customHeight="true" outlineLevel="0" collapsed="false">
      <c r="A8" s="4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6" t="n">
        <v>3</v>
      </c>
      <c r="G8" s="6" t="n">
        <v>3</v>
      </c>
      <c r="H8" s="6" t="n">
        <f aca="false">F8*G8</f>
        <v>9</v>
      </c>
      <c r="I8" s="6" t="str">
        <f aca="false">LOOKUP(H8,Escala!$A$12:$A$15,Escala!$B$12:$B$15)</f>
        <v>Moderado</v>
      </c>
      <c r="J8" s="5" t="s">
        <v>39</v>
      </c>
      <c r="K8" s="5" t="s">
        <v>40</v>
      </c>
    </row>
    <row r="9" customFormat="false" ht="33.75" hidden="false" customHeight="true" outlineLevel="0" collapsed="false">
      <c r="A9" s="4" t="s">
        <v>41</v>
      </c>
      <c r="B9" s="5" t="s">
        <v>42</v>
      </c>
      <c r="C9" s="5" t="s">
        <v>36</v>
      </c>
      <c r="D9" s="5" t="s">
        <v>43</v>
      </c>
      <c r="E9" s="5" t="s">
        <v>44</v>
      </c>
      <c r="F9" s="6" t="n">
        <v>3</v>
      </c>
      <c r="G9" s="6" t="n">
        <v>3</v>
      </c>
      <c r="H9" s="6" t="n">
        <f aca="false">F9*G9</f>
        <v>9</v>
      </c>
      <c r="I9" s="6" t="str">
        <f aca="false">LOOKUP(H9,Escala!$A$12:$A$15,Escala!$B$12:$B$15)</f>
        <v>Moderado</v>
      </c>
      <c r="J9" s="5" t="s">
        <v>39</v>
      </c>
      <c r="K9" s="5" t="s">
        <v>45</v>
      </c>
    </row>
    <row r="10" customFormat="false" ht="45.75" hidden="false" customHeight="true" outlineLevel="0" collapsed="false">
      <c r="A10" s="4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6" t="n">
        <v>4</v>
      </c>
      <c r="G10" s="6" t="n">
        <v>3</v>
      </c>
      <c r="H10" s="6" t="n">
        <f aca="false">F10*G10</f>
        <v>12</v>
      </c>
      <c r="I10" s="6" t="str">
        <f aca="false">LOOKUP(H10,Escala!$A$12:$A$15,Escala!$B$12:$B$15)</f>
        <v>Alto</v>
      </c>
      <c r="J10" s="5" t="s">
        <v>51</v>
      </c>
      <c r="K10" s="5" t="s">
        <v>52</v>
      </c>
    </row>
  </sheetData>
  <conditionalFormatting sqref="I5:I10">
    <cfRule type="expression" priority="2" aboveAverage="0" equalAverage="0" bottom="0" percent="0" rank="0" text="" dxfId="0">
      <formula>I5="Crítico"</formula>
    </cfRule>
    <cfRule type="expression" priority="3" aboveAverage="0" equalAverage="0" bottom="0" percent="0" rank="0" text="" dxfId="1">
      <formula>I5="Alto"</formula>
    </cfRule>
    <cfRule type="expression" priority="4" aboveAverage="0" equalAverage="0" bottom="0" percent="0" rank="0" text="" dxfId="2">
      <formula>I5="Moderado"</formula>
    </cfRule>
    <cfRule type="expression" priority="5" aboveAverage="0" equalAverage="0" bottom="0" percent="0" rank="0" text="" dxfId="3">
      <formula>I5="Bajo"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36"/>
    <col collapsed="false" customWidth="true" hidden="false" outlineLevel="0" max="9" min="7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6" hidden="false" customHeight="tru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</row>
    <row r="5" customFormat="false" ht="105.75" hidden="false" customHeight="true" outlineLevel="0" collapsed="false">
      <c r="A5" s="4" t="s">
        <v>13</v>
      </c>
      <c r="B5" s="5" t="str">
        <f aca="false">Inicial!B5</f>
        <v>Cuenta de usuario ficticia «usuario.demo» en la aplicación de autenticación (formulario /login)</v>
      </c>
      <c r="C5" s="5" t="s">
        <v>67</v>
      </c>
      <c r="D5" s="5" t="s">
        <v>68</v>
      </c>
      <c r="E5" s="5" t="s">
        <v>69</v>
      </c>
      <c r="F5" s="5" t="s">
        <v>70</v>
      </c>
      <c r="G5" s="6" t="n">
        <v>2</v>
      </c>
      <c r="H5" s="6" t="n">
        <v>3</v>
      </c>
      <c r="I5" s="6" t="n">
        <f aca="false">G5*H5</f>
        <v>6</v>
      </c>
      <c r="J5" s="6" t="str">
        <f aca="false">LOOKUP(I5,Escala!$A$12:$A$15,Escala!$B$12:$B$15)</f>
        <v>Moderado</v>
      </c>
      <c r="K5" s="6" t="n">
        <f aca="false">Inicial!H5</f>
        <v>12</v>
      </c>
      <c r="L5" s="6" t="n">
        <f aca="false">I5-K5</f>
        <v>-6</v>
      </c>
      <c r="M5" s="5" t="s">
        <v>71</v>
      </c>
    </row>
    <row r="6" customFormat="false" ht="81.75" hidden="false" customHeight="true" outlineLevel="0" collapsed="false">
      <c r="A6" s="4" t="s">
        <v>20</v>
      </c>
      <c r="B6" s="5" t="str">
        <f aca="false">Inicial!B6</f>
        <v>Cuenta de usuario ficticia (credenciales del funcionario) expuesta a un mensaje con QR / enlace corto</v>
      </c>
      <c r="C6" s="5" t="s">
        <v>72</v>
      </c>
      <c r="D6" s="5" t="s">
        <v>73</v>
      </c>
      <c r="E6" s="5" t="s">
        <v>74</v>
      </c>
      <c r="F6" s="5" t="s">
        <v>75</v>
      </c>
      <c r="G6" s="6" t="n">
        <v>3</v>
      </c>
      <c r="H6" s="6" t="n">
        <v>4</v>
      </c>
      <c r="I6" s="6" t="n">
        <f aca="false">G6*H6</f>
        <v>12</v>
      </c>
      <c r="J6" s="6" t="str">
        <f aca="false">LOOKUP(I6,Escala!$A$12:$A$15,Escala!$B$12:$B$15)</f>
        <v>Alto</v>
      </c>
      <c r="K6" s="6" t="n">
        <f aca="false">Inicial!H6</f>
        <v>16</v>
      </c>
      <c r="L6" s="6" t="n">
        <f aca="false">I6-K6</f>
        <v>-4</v>
      </c>
      <c r="M6" s="5" t="s">
        <v>76</v>
      </c>
    </row>
    <row r="7" customFormat="false" ht="81.75" hidden="false" customHeight="true" outlineLevel="0" collapsed="false">
      <c r="A7" s="4" t="s">
        <v>27</v>
      </c>
      <c r="B7" s="5" t="str">
        <f aca="false">Inicial!B7</f>
        <v>Registros de acceso: auth.log de la aplicación y access.log de Apache/NGINX</v>
      </c>
      <c r="C7" s="5" t="s">
        <v>77</v>
      </c>
      <c r="D7" s="5" t="s">
        <v>78</v>
      </c>
      <c r="E7" s="5" t="s">
        <v>79</v>
      </c>
      <c r="F7" s="5" t="s">
        <v>80</v>
      </c>
      <c r="G7" s="6" t="n">
        <v>2</v>
      </c>
      <c r="H7" s="6" t="n">
        <v>3</v>
      </c>
      <c r="I7" s="6" t="n">
        <f aca="false">G7*H7</f>
        <v>6</v>
      </c>
      <c r="J7" s="6" t="str">
        <f aca="false">LOOKUP(I7,Escala!$A$12:$A$15,Escala!$B$12:$B$15)</f>
        <v>Moderado</v>
      </c>
      <c r="K7" s="6" t="n">
        <f aca="false">Inicial!H7</f>
        <v>12</v>
      </c>
      <c r="L7" s="6" t="n">
        <f aca="false">I7-K7</f>
        <v>-6</v>
      </c>
      <c r="M7" s="5" t="s">
        <v>81</v>
      </c>
    </row>
    <row r="8" customFormat="false" ht="57.75" hidden="false" customHeight="true" outlineLevel="0" collapsed="false">
      <c r="A8" s="4" t="s">
        <v>34</v>
      </c>
      <c r="B8" s="5" t="str">
        <f aca="false">Inicial!B8</f>
        <v>Servidor web Apache HTTP Server (proxy inverso de la aplicación)</v>
      </c>
      <c r="C8" s="5" t="s">
        <v>82</v>
      </c>
      <c r="D8" s="5" t="s">
        <v>83</v>
      </c>
      <c r="E8" s="5" t="s">
        <v>84</v>
      </c>
      <c r="F8" s="5" t="s">
        <v>85</v>
      </c>
      <c r="G8" s="6" t="n">
        <v>2</v>
      </c>
      <c r="H8" s="6" t="n">
        <v>3</v>
      </c>
      <c r="I8" s="6" t="n">
        <f aca="false">G8*H8</f>
        <v>6</v>
      </c>
      <c r="J8" s="6" t="str">
        <f aca="false">LOOKUP(I8,Escala!$A$12:$A$15,Escala!$B$12:$B$15)</f>
        <v>Moderado</v>
      </c>
      <c r="K8" s="6" t="n">
        <f aca="false">Inicial!H8</f>
        <v>9</v>
      </c>
      <c r="L8" s="6" t="n">
        <f aca="false">I8-K8</f>
        <v>-3</v>
      </c>
      <c r="M8" s="5" t="s">
        <v>86</v>
      </c>
    </row>
    <row r="9" customFormat="false" ht="45.75" hidden="false" customHeight="true" outlineLevel="0" collapsed="false">
      <c r="A9" s="4" t="s">
        <v>41</v>
      </c>
      <c r="B9" s="5" t="str">
        <f aca="false">Inicial!B9</f>
        <v>Servidor web NGINX (proxy inverso de la aplicación)</v>
      </c>
      <c r="C9" s="5" t="s">
        <v>87</v>
      </c>
      <c r="D9" s="5" t="s">
        <v>83</v>
      </c>
      <c r="E9" s="5" t="s">
        <v>84</v>
      </c>
      <c r="F9" s="5" t="s">
        <v>88</v>
      </c>
      <c r="G9" s="6" t="n">
        <v>2</v>
      </c>
      <c r="H9" s="6" t="n">
        <v>3</v>
      </c>
      <c r="I9" s="6" t="n">
        <f aca="false">G9*H9</f>
        <v>6</v>
      </c>
      <c r="J9" s="6" t="str">
        <f aca="false">LOOKUP(I9,Escala!$A$12:$A$15,Escala!$B$12:$B$15)</f>
        <v>Moderado</v>
      </c>
      <c r="K9" s="6" t="n">
        <f aca="false">Inicial!H9</f>
        <v>9</v>
      </c>
      <c r="L9" s="6" t="n">
        <f aca="false">I9-K9</f>
        <v>-3</v>
      </c>
      <c r="M9" s="5" t="s">
        <v>89</v>
      </c>
    </row>
    <row r="10" customFormat="false" ht="57.75" hidden="false" customHeight="true" outlineLevel="0" collapsed="false">
      <c r="A10" s="4" t="s">
        <v>46</v>
      </c>
      <c r="B10" s="5" t="str">
        <f aca="false">Inicial!B10</f>
        <v>Tráfico HTTP de autenticación (credenciales en tránsito entre cliente y servidor)</v>
      </c>
      <c r="C10" s="5" t="s">
        <v>90</v>
      </c>
      <c r="D10" s="5" t="s">
        <v>91</v>
      </c>
      <c r="E10" s="5" t="s">
        <v>92</v>
      </c>
      <c r="F10" s="5" t="s">
        <v>93</v>
      </c>
      <c r="G10" s="6" t="n">
        <v>3</v>
      </c>
      <c r="H10" s="6" t="n">
        <v>4</v>
      </c>
      <c r="I10" s="6" t="n">
        <f aca="false">G10*H10</f>
        <v>12</v>
      </c>
      <c r="J10" s="6" t="str">
        <f aca="false">LOOKUP(I10,Escala!$A$12:$A$15,Escala!$B$12:$B$15)</f>
        <v>Alto</v>
      </c>
      <c r="K10" s="6" t="n">
        <f aca="false">Inicial!H10</f>
        <v>12</v>
      </c>
      <c r="L10" s="6" t="n">
        <f aca="false">I10-K10</f>
        <v>0</v>
      </c>
      <c r="M10" s="5" t="s">
        <v>94</v>
      </c>
    </row>
  </sheetData>
  <conditionalFormatting sqref="J5:J10">
    <cfRule type="expression" priority="2" aboveAverage="0" equalAverage="0" bottom="0" percent="0" rank="0" text="" dxfId="0">
      <formula>J5="Crítico"</formula>
    </cfRule>
    <cfRule type="expression" priority="3" aboveAverage="0" equalAverage="0" bottom="0" percent="0" rank="0" text="" dxfId="1">
      <formula>J5="Alto"</formula>
    </cfRule>
    <cfRule type="expression" priority="4" aboveAverage="0" equalAverage="0" bottom="0" percent="0" rank="0" text="" dxfId="2">
      <formula>J5="Moderado"</formula>
    </cfRule>
    <cfRule type="expression" priority="5" aboveAverage="0" equalAverage="0" bottom="0" percent="0" rank="0" text="" dxfId="3">
      <formula>J5="Bajo"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95</v>
      </c>
    </row>
    <row r="4" customFormat="false" ht="15" hidden="false" customHeight="false" outlineLevel="0" collapsed="false">
      <c r="A4" s="7" t="s">
        <v>96</v>
      </c>
      <c r="B4" s="7" t="s">
        <v>97</v>
      </c>
      <c r="C4" s="7" t="s">
        <v>98</v>
      </c>
    </row>
    <row r="5" customFormat="false" ht="15" hidden="false" customHeight="false" outlineLevel="0" collapsed="false">
      <c r="A5" s="8" t="n">
        <v>1</v>
      </c>
      <c r="B5" s="8" t="s">
        <v>99</v>
      </c>
      <c r="C5" s="8" t="s">
        <v>100</v>
      </c>
    </row>
    <row r="6" customFormat="false" ht="15" hidden="false" customHeight="false" outlineLevel="0" collapsed="false">
      <c r="A6" s="8" t="n">
        <v>2</v>
      </c>
      <c r="B6" s="8" t="s">
        <v>101</v>
      </c>
      <c r="C6" s="8" t="s">
        <v>102</v>
      </c>
    </row>
    <row r="7" customFormat="false" ht="15" hidden="false" customHeight="false" outlineLevel="0" collapsed="false">
      <c r="A7" s="8" t="n">
        <v>3</v>
      </c>
      <c r="B7" s="8" t="s">
        <v>103</v>
      </c>
      <c r="C7" s="8" t="s">
        <v>104</v>
      </c>
    </row>
    <row r="8" customFormat="false" ht="15" hidden="false" customHeight="false" outlineLevel="0" collapsed="false">
      <c r="A8" s="8" t="n">
        <v>4</v>
      </c>
      <c r="B8" s="8" t="s">
        <v>105</v>
      </c>
      <c r="C8" s="8" t="s">
        <v>106</v>
      </c>
    </row>
    <row r="9" customFormat="false" ht="15" hidden="false" customHeight="false" outlineLevel="0" collapsed="false">
      <c r="A9" s="8" t="n">
        <v>5</v>
      </c>
      <c r="B9" s="8" t="s">
        <v>107</v>
      </c>
      <c r="C9" s="8" t="s">
        <v>108</v>
      </c>
    </row>
    <row r="10" customFormat="false" ht="15" hidden="false" customHeight="false" outlineLevel="0" collapsed="false">
      <c r="A10" s="9" t="s">
        <v>109</v>
      </c>
    </row>
    <row r="11" customFormat="false" ht="15" hidden="false" customHeight="false" outlineLevel="0" collapsed="false">
      <c r="A11" s="7" t="s">
        <v>110</v>
      </c>
      <c r="B11" s="7" t="s">
        <v>111</v>
      </c>
      <c r="C11" s="7" t="s">
        <v>112</v>
      </c>
    </row>
    <row r="12" customFormat="false" ht="15" hidden="false" customHeight="false" outlineLevel="0" collapsed="false">
      <c r="A12" s="8" t="n">
        <v>1</v>
      </c>
      <c r="B12" s="10" t="s">
        <v>113</v>
      </c>
      <c r="C12" s="8" t="s">
        <v>114</v>
      </c>
    </row>
    <row r="13" customFormat="false" ht="15" hidden="false" customHeight="false" outlineLevel="0" collapsed="false">
      <c r="A13" s="8" t="n">
        <v>5</v>
      </c>
      <c r="B13" s="11" t="s">
        <v>104</v>
      </c>
      <c r="C13" s="8" t="s">
        <v>115</v>
      </c>
    </row>
    <row r="14" customFormat="false" ht="15" hidden="false" customHeight="false" outlineLevel="0" collapsed="false">
      <c r="A14" s="8" t="n">
        <v>10</v>
      </c>
      <c r="B14" s="12" t="s">
        <v>116</v>
      </c>
      <c r="C14" s="8" t="s">
        <v>117</v>
      </c>
    </row>
    <row r="15" customFormat="false" ht="15" hidden="false" customHeight="false" outlineLevel="0" collapsed="false">
      <c r="A15" s="8" t="n">
        <v>17</v>
      </c>
      <c r="B15" s="13" t="s">
        <v>108</v>
      </c>
      <c r="C15" s="8" t="s">
        <v>118</v>
      </c>
    </row>
    <row r="18" customFormat="false" ht="15" hidden="false" customHeight="false" outlineLevel="0" collapsed="false">
      <c r="A18" s="1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2026-10-22T18:32:20Z</dcterms:created>
  <dc:creator>Marcelo Acuña</dc:creator>
  <dc:description/>
  <dc:language>en-US</dc:language>
  <cp:lastModifiedBy/>
  <dcterms:modified xsi:type="dcterms:W3CDTF">2026-10-22T18:32:20Z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